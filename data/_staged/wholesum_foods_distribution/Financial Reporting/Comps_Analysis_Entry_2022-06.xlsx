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ublic Comps" sheetId="2" state="visible" r:id="rId2"/>
    <sheet xmlns:r="http://schemas.openxmlformats.org/officeDocument/2006/relationships" name="Transaction Comps" sheetId="3" state="visible" r:id="rId3"/>
    <sheet xmlns:r="http://schemas.openxmlformats.org/officeDocument/2006/relationships" name="Valuation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"/>
    <numFmt numFmtId="165" formatCode="0.0&quot;x&quot;"/>
    <numFmt numFmtId="166" formatCode="&quot;$&quot;#,##0"/>
    <numFmt numFmtId="167" formatCode="0.0%"/>
    <numFmt numFmtId="168" formatCode="0.00&quot;x&quot;"/>
  </numFmts>
  <fonts count="12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666666"/>
      <sz val="11"/>
    </font>
    <font>
      <name val="Arial"/>
      <b val="1"/>
      <color rgb="001F2A4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2A44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1F2A44"/>
      <sz val="14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E5EAF2"/>
      </patternFill>
    </fill>
    <fill>
      <patternFill patternType="solid">
        <fgColor rgb="001F2A44"/>
      </patternFill>
    </fill>
    <fill>
      <patternFill patternType="solid">
        <fgColor rgb="00F4D58D"/>
      </patternFill>
    </fill>
  </fills>
  <borders count="2">
    <border>
      <left/>
      <right/>
      <top/>
      <bottom/>
      <diagonal/>
    </border>
    <border>
      <left style="thin">
        <color rgb="00C8CFDC"/>
      </left>
      <right style="thin">
        <color rgb="00C8CFDC"/>
      </right>
      <top style="thin">
        <color rgb="00C8CFDC"/>
      </top>
      <bottom style="thin">
        <color rgb="00C8CFD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6" fillId="0" borderId="1" pivotButton="0" quotePrefix="0" xfId="0"/>
    <xf numFmtId="0" fontId="8" fillId="0" borderId="1" pivotButton="0" quotePrefix="0" xfId="0"/>
    <xf numFmtId="166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0" fillId="4" borderId="0" pivotButton="0" quotePrefix="0" xfId="0"/>
    <xf numFmtId="0" fontId="7" fillId="4" borderId="0" pivotButton="0" quotePrefix="0" xfId="0"/>
    <xf numFmtId="0" fontId="7" fillId="0" borderId="0" pivotButton="0" quotePrefix="0" xfId="0"/>
    <xf numFmtId="167" fontId="7" fillId="0" borderId="0" pivotButton="0" quotePrefix="0" xfId="0"/>
    <xf numFmtId="168" fontId="7" fillId="0" borderId="0" pivotButton="0" quotePrefix="0" xfId="0"/>
    <xf numFmtId="165" fontId="7" fillId="0" borderId="0" pivotButton="0" quotePrefix="0" xfId="0"/>
    <xf numFmtId="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9" customWidth="1" min="4" max="4"/>
    <col width="22" customWidth="1" min="5" max="5"/>
  </cols>
  <sheetData>
    <row r="1">
      <c r="A1" s="1" t="inlineStr">
        <is>
          <t>Wholesum Foods Distribution — Valuation Analysis</t>
        </is>
      </c>
    </row>
    <row r="2">
      <c r="A2" s="2" t="inlineStr">
        <is>
          <t>Entry IC Materials — June 2022  |  Atlas Crossing Partners Fund III</t>
        </is>
      </c>
    </row>
    <row r="4">
      <c r="A4" s="3" t="inlineStr">
        <is>
          <t>Valuation summary</t>
        </is>
      </c>
      <c r="B4" s="4" t="n"/>
      <c r="C4" s="4" t="n"/>
      <c r="D4" s="4" t="n"/>
      <c r="E4" s="4" t="n"/>
    </row>
    <row r="5">
      <c r="A5" s="5" t="inlineStr">
        <is>
          <t>Methodology</t>
        </is>
      </c>
      <c r="B5" s="5" t="inlineStr">
        <is>
          <t>Low</t>
        </is>
      </c>
      <c r="C5" s="5" t="inlineStr">
        <is>
          <t>Mid</t>
        </is>
      </c>
      <c r="D5" s="5" t="inlineStr">
        <is>
          <t>High</t>
        </is>
      </c>
      <c r="E5" s="5" t="inlineStr">
        <is>
          <t>Implied Wholesum EV ($M)</t>
        </is>
      </c>
    </row>
    <row r="6">
      <c r="A6" s="6" t="inlineStr">
        <is>
          <t>Public comp set — foodservice broadliners (NTM EBITDA)</t>
        </is>
      </c>
      <c r="B6" s="7" t="n">
        <v>8.5</v>
      </c>
      <c r="C6" s="7" t="n">
        <v>10</v>
      </c>
      <c r="D6" s="7" t="n">
        <v>12</v>
      </c>
      <c r="E6" s="8">
        <f>C6*$B$10</f>
        <v/>
      </c>
    </row>
    <row r="7">
      <c r="A7" s="6" t="inlineStr">
        <is>
          <t>Public comp set — specialty foodservice &amp; food distribution</t>
        </is>
      </c>
      <c r="B7" s="7" t="n">
        <v>10</v>
      </c>
      <c r="C7" s="7" t="n">
        <v>11.5</v>
      </c>
      <c r="D7" s="7" t="n">
        <v>14</v>
      </c>
      <c r="E7" s="8">
        <f>C7*$B$10</f>
        <v/>
      </c>
    </row>
    <row r="8">
      <c r="A8" s="6" t="inlineStr">
        <is>
          <t>Precedent M&amp;A — specialty foodservice / specialty food</t>
        </is>
      </c>
      <c r="B8" s="7" t="n">
        <v>9</v>
      </c>
      <c r="C8" s="7" t="n">
        <v>10.5</v>
      </c>
      <c r="D8" s="7" t="n">
        <v>13.5</v>
      </c>
      <c r="E8" s="8">
        <f>C8*$B$10</f>
        <v/>
      </c>
    </row>
    <row r="9">
      <c r="A9" s="9" t="inlineStr">
        <is>
          <t>Selected valuation range (LTM EBITDA basis)</t>
        </is>
      </c>
      <c r="B9" s="10" t="n">
        <v>9</v>
      </c>
      <c r="C9" s="10" t="n">
        <v>9.800000000000001</v>
      </c>
      <c r="D9" s="10" t="n">
        <v>11</v>
      </c>
      <c r="E9" s="11">
        <f>C9*$B$10</f>
        <v/>
      </c>
    </row>
    <row r="10">
      <c r="A10" s="12" t="inlineStr">
        <is>
          <t>LTM Adjusted EBITDA (per EY QofE)</t>
        </is>
      </c>
      <c r="B10" s="13" t="n">
        <v>72.40000000000001</v>
      </c>
    </row>
    <row r="11">
      <c r="A11" s="12" t="inlineStr">
        <is>
          <t>Selected entry multiple</t>
        </is>
      </c>
      <c r="B11" s="14" t="n">
        <v>9.800000000000001</v>
      </c>
    </row>
    <row r="12">
      <c r="A12" s="12" t="inlineStr">
        <is>
          <t>Implied entry EV</t>
        </is>
      </c>
      <c r="B12" s="15">
        <f>B10*B11</f>
        <v/>
      </c>
    </row>
    <row r="14">
      <c r="A14" s="3" t="inlineStr">
        <is>
          <t>Conclusion</t>
        </is>
      </c>
      <c r="B14" s="4" t="n"/>
      <c r="C14" s="4" t="n"/>
      <c r="D14" s="4" t="n"/>
      <c r="E14" s="4" t="n"/>
    </row>
    <row r="15" ht="28" customHeight="1">
      <c r="A15" s="16" t="inlineStr">
        <is>
          <t>• Wholesum's 9.8x entry multiple sits between mainstream foodservice distributors (8–10x) and specialty / premium food distribution (11–14x).</t>
        </is>
      </c>
    </row>
    <row r="16" ht="28" customHeight="1">
      <c r="A16" s="16" t="inlineStr">
        <is>
          <t>• The premium over broadliners reflects Wholesum's specialty / ethnic positioning, higher growth profile (12%+ vs. 3–4% for broadliners), and superior gross margin (21.8% vs. 17–19% for broadliners).</t>
        </is>
      </c>
    </row>
    <row r="17" ht="28" customHeight="1">
      <c r="A17" s="16" t="inlineStr">
        <is>
          <t>• Recent specialty foodservice transactions in 2020–2022 priced at 10.5–13.5x, supporting our exit underwrite of 10–12x.</t>
        </is>
      </c>
    </row>
    <row r="18" ht="28" customHeight="1">
      <c r="A18" s="16" t="inlineStr">
        <is>
          <t>• Multiple is protected by Wholesum's market position as the only scaled multi-segment specialty foodservice distributor.</t>
        </is>
      </c>
    </row>
  </sheetData>
  <mergeCells count="4">
    <mergeCell ref="A16:E16"/>
    <mergeCell ref="A15:E15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7" t="inlineStr">
        <is>
          <t>Public comparable companies — foodservice distribution</t>
        </is>
      </c>
    </row>
    <row r="2">
      <c r="A2" s="18" t="inlineStr">
        <is>
          <t>Trading data as of June 10, 2022  |  Sources: Bloomberg, FactSet, company filings</t>
        </is>
      </c>
    </row>
    <row r="4" ht="38" customHeight="1">
      <c r="A4" s="5" t="inlineStr">
        <is>
          <t>Ticker</t>
        </is>
      </c>
      <c r="B4" s="5" t="inlineStr">
        <is>
          <t>Company</t>
        </is>
      </c>
      <c r="C4" s="5" t="inlineStr">
        <is>
          <t>Sub-segment</t>
        </is>
      </c>
      <c r="D4" s="5" t="inlineStr">
        <is>
          <t>Market cap ($M)</t>
        </is>
      </c>
      <c r="E4" s="5" t="inlineStr">
        <is>
          <t>EV ($M)</t>
        </is>
      </c>
      <c r="F4" s="5" t="inlineStr">
        <is>
          <t>LTM revenue ($M)</t>
        </is>
      </c>
      <c r="G4" s="5" t="inlineStr">
        <is>
          <t>LTM EBITDA ($M)</t>
        </is>
      </c>
      <c r="H4" s="5" t="inlineStr">
        <is>
          <t>LTM EBITDA margin</t>
        </is>
      </c>
      <c r="I4" s="5" t="inlineStr">
        <is>
          <t>EV / LTM revenue</t>
        </is>
      </c>
      <c r="J4" s="5" t="inlineStr">
        <is>
          <t>EV / LTM EBITDA</t>
        </is>
      </c>
      <c r="K4" s="5" t="inlineStr">
        <is>
          <t>Revenue 3Y CAGR</t>
        </is>
      </c>
    </row>
    <row r="5">
      <c r="A5" s="3" t="inlineStr">
        <is>
          <t>Foodservice broadliners (mainstream)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9" t="inlineStr">
        <is>
          <t>SYY</t>
        </is>
      </c>
      <c r="B6" s="20" t="inlineStr">
        <is>
          <t>Sysco Corporation</t>
        </is>
      </c>
      <c r="C6" s="20" t="inlineStr">
        <is>
          <t>Foodservice broadline (national)</t>
        </is>
      </c>
      <c r="D6" s="21" t="n">
        <v>43050</v>
      </c>
      <c r="E6" s="21" t="n">
        <v>56120</v>
      </c>
      <c r="F6" s="21" t="n">
        <v>64000</v>
      </c>
      <c r="G6" s="21" t="n">
        <v>3340</v>
      </c>
      <c r="H6" s="22" t="n">
        <v>0.052</v>
      </c>
      <c r="I6" s="23">
        <f>E6/F6</f>
        <v/>
      </c>
      <c r="J6" s="24">
        <f>E6/G6</f>
        <v/>
      </c>
      <c r="K6" s="22" t="n">
        <v>0.035</v>
      </c>
    </row>
    <row r="7">
      <c r="A7" s="19" t="inlineStr">
        <is>
          <t>USFD</t>
        </is>
      </c>
      <c r="B7" s="20" t="inlineStr">
        <is>
          <t>US Foods Holding</t>
        </is>
      </c>
      <c r="C7" s="20" t="inlineStr">
        <is>
          <t>Foodservice broadline (national)</t>
        </is>
      </c>
      <c r="D7" s="21" t="n">
        <v>7720</v>
      </c>
      <c r="E7" s="21" t="n">
        <v>14130</v>
      </c>
      <c r="F7" s="21" t="n">
        <v>32000</v>
      </c>
      <c r="G7" s="21" t="n">
        <v>1280</v>
      </c>
      <c r="H7" s="22" t="n">
        <v>0.04</v>
      </c>
      <c r="I7" s="23">
        <f>E7/F7</f>
        <v/>
      </c>
      <c r="J7" s="24">
        <f>E7/G7</f>
        <v/>
      </c>
      <c r="K7" s="22" t="n">
        <v>0.02</v>
      </c>
    </row>
    <row r="8">
      <c r="A8" s="19" t="inlineStr">
        <is>
          <t>PFGC</t>
        </is>
      </c>
      <c r="B8" s="20" t="inlineStr">
        <is>
          <t>Performance Food Group</t>
        </is>
      </c>
      <c r="C8" s="20" t="inlineStr">
        <is>
          <t>Foodservice broadline + vending (Vistar)</t>
        </is>
      </c>
      <c r="D8" s="21" t="n">
        <v>6920</v>
      </c>
      <c r="E8" s="21" t="n">
        <v>11580</v>
      </c>
      <c r="F8" s="21" t="n">
        <v>51000</v>
      </c>
      <c r="G8" s="21" t="n">
        <v>1410</v>
      </c>
      <c r="H8" s="22" t="n">
        <v>0.028</v>
      </c>
      <c r="I8" s="23">
        <f>E8/F8</f>
        <v/>
      </c>
      <c r="J8" s="24">
        <f>E8/G8</f>
        <v/>
      </c>
      <c r="K8" s="22" t="n">
        <v>0.08500000000000001</v>
      </c>
    </row>
    <row r="9">
      <c r="A9" s="19" t="inlineStr">
        <is>
          <t>CHEF</t>
        </is>
      </c>
      <c r="B9" s="20" t="inlineStr">
        <is>
          <t>The Chefs' Warehouse</t>
        </is>
      </c>
      <c r="C9" s="20" t="inlineStr">
        <is>
          <t>Specialty foodservice (premium / scratch)</t>
        </is>
      </c>
      <c r="D9" s="21" t="n">
        <v>1380</v>
      </c>
      <c r="E9" s="21" t="n">
        <v>1980</v>
      </c>
      <c r="F9" s="21" t="n">
        <v>2240</v>
      </c>
      <c r="G9" s="21" t="n">
        <v>140</v>
      </c>
      <c r="H9" s="22" t="n">
        <v>0.063</v>
      </c>
      <c r="I9" s="23">
        <f>E9/F9</f>
        <v/>
      </c>
      <c r="J9" s="24">
        <f>E9/G9</f>
        <v/>
      </c>
      <c r="K9" s="22" t="n">
        <v>0.12</v>
      </c>
    </row>
    <row r="10">
      <c r="A10" s="3" t="inlineStr">
        <is>
          <t>Specialty / value-added food distribution (closer comps)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9" t="inlineStr">
        <is>
          <t>UNFI</t>
        </is>
      </c>
      <c r="B11" s="20" t="inlineStr">
        <is>
          <t>United Natural Foods</t>
        </is>
      </c>
      <c r="C11" s="20" t="inlineStr">
        <is>
          <t>Natural / organic food distribution</t>
        </is>
      </c>
      <c r="D11" s="21" t="n">
        <v>2570</v>
      </c>
      <c r="E11" s="21" t="n">
        <v>5240</v>
      </c>
      <c r="F11" s="21" t="n">
        <v>28100</v>
      </c>
      <c r="G11" s="21" t="n">
        <v>720</v>
      </c>
      <c r="H11" s="22" t="n">
        <v>0.026</v>
      </c>
      <c r="I11" s="23">
        <f>E11/F11</f>
        <v/>
      </c>
      <c r="J11" s="24">
        <f>E11/G11</f>
        <v/>
      </c>
      <c r="K11" s="22" t="n">
        <v>0.09</v>
      </c>
    </row>
    <row r="12">
      <c r="A12" s="19" t="inlineStr">
        <is>
          <t>CALM</t>
        </is>
      </c>
      <c r="B12" s="20" t="inlineStr">
        <is>
          <t>Cal-Maine Foods</t>
        </is>
      </c>
      <c r="C12" s="20" t="inlineStr">
        <is>
          <t>Specialty food (egg) distribution</t>
        </is>
      </c>
      <c r="D12" s="21" t="n">
        <v>2860</v>
      </c>
      <c r="E12" s="21" t="n">
        <v>2780</v>
      </c>
      <c r="F12" s="21" t="n">
        <v>2010</v>
      </c>
      <c r="G12" s="21" t="n">
        <v>175</v>
      </c>
      <c r="H12" s="22" t="n">
        <v>0.08699999999999999</v>
      </c>
      <c r="I12" s="23">
        <f>E12/F12</f>
        <v/>
      </c>
      <c r="J12" s="24">
        <f>E12/G12</f>
        <v/>
      </c>
      <c r="K12" s="22" t="n">
        <v>0.045</v>
      </c>
    </row>
    <row r="13">
      <c r="A13" s="19" t="inlineStr">
        <is>
          <t>ANDE</t>
        </is>
      </c>
      <c r="B13" s="20" t="inlineStr">
        <is>
          <t>The Andersons (Plant Nutrient + Trade)</t>
        </is>
      </c>
      <c r="C13" s="20" t="inlineStr">
        <is>
          <t>Specialty ag/food distribution</t>
        </is>
      </c>
      <c r="D13" s="21" t="n">
        <v>1840</v>
      </c>
      <c r="E13" s="21" t="n">
        <v>2750</v>
      </c>
      <c r="F13" s="21" t="n">
        <v>12100</v>
      </c>
      <c r="G13" s="21" t="n">
        <v>410</v>
      </c>
      <c r="H13" s="22" t="n">
        <v>0.034</v>
      </c>
      <c r="I13" s="23">
        <f>E13/F13</f>
        <v/>
      </c>
      <c r="J13" s="24">
        <f>E13/G13</f>
        <v/>
      </c>
      <c r="K13" s="22" t="n">
        <v>0.155</v>
      </c>
    </row>
    <row r="14">
      <c r="A14" s="19" t="inlineStr">
        <is>
          <t>VITL</t>
        </is>
      </c>
      <c r="B14" s="20" t="inlineStr">
        <is>
          <t>Vital Farms</t>
        </is>
      </c>
      <c r="C14" s="20" t="inlineStr">
        <is>
          <t>Specialty / branded eggs</t>
        </is>
      </c>
      <c r="D14" s="21" t="n">
        <v>615</v>
      </c>
      <c r="E14" s="21" t="n">
        <v>580</v>
      </c>
      <c r="F14" s="21" t="n">
        <v>320</v>
      </c>
      <c r="G14" s="21" t="n">
        <v>35</v>
      </c>
      <c r="H14" s="22" t="n">
        <v>0.109</v>
      </c>
      <c r="I14" s="23">
        <f>E14/F14</f>
        <v/>
      </c>
      <c r="J14" s="24">
        <f>E14/G14</f>
        <v/>
      </c>
      <c r="K14" s="22" t="n">
        <v>0.35</v>
      </c>
    </row>
    <row r="16">
      <c r="A16" s="25" t="n"/>
      <c r="B16" s="26" t="inlineStr">
        <is>
          <t>STATISTICS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</row>
    <row r="17">
      <c r="B17" s="27" t="inlineStr">
        <is>
          <t>Median (all)</t>
        </is>
      </c>
      <c r="H17" s="28">
        <f>MEDIAN(H6:H14)</f>
        <v/>
      </c>
      <c r="I17" s="29">
        <f>MEDIAN(I6:I14)</f>
        <v/>
      </c>
      <c r="J17" s="30">
        <f>MEDIAN(J6:J14)</f>
        <v/>
      </c>
      <c r="K17" s="28">
        <f>MEDIAN(K6:K14)</f>
        <v/>
      </c>
    </row>
    <row r="18">
      <c r="B18" s="27" t="inlineStr">
        <is>
          <t>Mean (all)</t>
        </is>
      </c>
      <c r="H18" s="28">
        <f>AVERAGE(H6:H14)</f>
        <v/>
      </c>
      <c r="I18" s="29">
        <f>AVERAGE(I6:I14)</f>
        <v/>
      </c>
      <c r="J18" s="30">
        <f>AVERAGE(J6:J14)</f>
        <v/>
      </c>
      <c r="K18" s="28">
        <f>AVERAGE(K6:K14)</f>
        <v/>
      </c>
    </row>
    <row r="19">
      <c r="B19" s="27" t="inlineStr">
        <is>
          <t>Median (specialty only)</t>
        </is>
      </c>
      <c r="H19" s="28">
        <f>MEDIAN(H11:H14)</f>
        <v/>
      </c>
      <c r="I19" s="29">
        <f>MEDIAN(I11:I14)</f>
        <v/>
      </c>
      <c r="J19" s="30">
        <f>MEDIAN(J11:J14)</f>
        <v/>
      </c>
      <c r="K19" s="28">
        <f>MEDIAN(K11:K14)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>
      <c r="A1" s="17" t="inlineStr">
        <is>
          <t>Precedent M&amp;A transactions — foodservice and specialty food distribution</t>
        </is>
      </c>
    </row>
    <row r="2">
      <c r="A2" s="18" t="inlineStr">
        <is>
          <t>Transactions 2018–2022  |  Sources: company PRs, Mergermarket, PitchBook</t>
        </is>
      </c>
    </row>
    <row r="4" ht="38" customHeight="1">
      <c r="A4" s="5" t="inlineStr">
        <is>
          <t>Date</t>
        </is>
      </c>
      <c r="B4" s="5" t="inlineStr">
        <is>
          <t>Target</t>
        </is>
      </c>
      <c r="C4" s="5" t="inlineStr">
        <is>
          <t>Acquirer</t>
        </is>
      </c>
      <c r="D4" s="5" t="inlineStr">
        <is>
          <t>Type</t>
        </is>
      </c>
      <c r="E4" s="5" t="inlineStr">
        <is>
          <t>EV ($M)</t>
        </is>
      </c>
      <c r="F4" s="5" t="inlineStr">
        <is>
          <t>Target revenue ($M)</t>
        </is>
      </c>
      <c r="G4" s="5" t="inlineStr">
        <is>
          <t>Target EBITDA ($M)</t>
        </is>
      </c>
      <c r="H4" s="5" t="inlineStr">
        <is>
          <t>EV/revenue</t>
        </is>
      </c>
      <c r="I4" s="5" t="inlineStr">
        <is>
          <t>EV/EBITDA</t>
        </is>
      </c>
      <c r="J4" s="5" t="inlineStr">
        <is>
          <t>Strategic rationale</t>
        </is>
      </c>
    </row>
    <row r="5">
      <c r="A5" s="31" t="inlineStr">
        <is>
          <t>Apr 2022</t>
        </is>
      </c>
      <c r="B5" s="32" t="inlineStr">
        <is>
          <t>Daniele Foods (specialty foodservice)</t>
        </is>
      </c>
      <c r="C5" s="32" t="inlineStr">
        <is>
          <t>Apollo (PE)</t>
        </is>
      </c>
      <c r="D5" s="32" t="inlineStr">
        <is>
          <t>Sponsor</t>
        </is>
      </c>
      <c r="E5" s="21" t="n">
        <v>1100</v>
      </c>
      <c r="F5" s="21" t="n">
        <v>580</v>
      </c>
      <c r="G5" s="21" t="n">
        <v>105</v>
      </c>
      <c r="H5" s="23">
        <f>E5/F5</f>
        <v/>
      </c>
      <c r="I5" s="24">
        <f>E5/G5</f>
        <v/>
      </c>
      <c r="J5" s="32" t="inlineStr">
        <is>
          <t>Italian / Mediterranean specialty</t>
        </is>
      </c>
    </row>
    <row r="6">
      <c r="A6" s="31" t="inlineStr">
        <is>
          <t>Mar 2022</t>
        </is>
      </c>
      <c r="B6" s="32" t="inlineStr">
        <is>
          <t>F. Christiana Foods</t>
        </is>
      </c>
      <c r="C6" s="32" t="inlineStr">
        <is>
          <t>Performance Food Group</t>
        </is>
      </c>
      <c r="D6" s="32" t="inlineStr">
        <is>
          <t>Strategic</t>
        </is>
      </c>
      <c r="E6" s="21" t="n">
        <v>82</v>
      </c>
      <c r="F6" s="21" t="n">
        <v>85</v>
      </c>
      <c r="G6" s="21" t="n">
        <v>9</v>
      </c>
      <c r="H6" s="23">
        <f>E6/F6</f>
        <v/>
      </c>
      <c r="I6" s="24">
        <f>E6/G6</f>
        <v/>
      </c>
      <c r="J6" s="32" t="inlineStr">
        <is>
          <t>Italian foodservice infill</t>
        </is>
      </c>
    </row>
    <row r="7">
      <c r="A7" s="31" t="inlineStr">
        <is>
          <t>Dec 2021</t>
        </is>
      </c>
      <c r="B7" s="32" t="inlineStr">
        <is>
          <t>GreenLeaf Specialty Foods</t>
        </is>
      </c>
      <c r="C7" s="32" t="inlineStr">
        <is>
          <t>Berkshire Partners</t>
        </is>
      </c>
      <c r="D7" s="32" t="inlineStr">
        <is>
          <t>Sponsor</t>
        </is>
      </c>
      <c r="E7" s="21" t="n">
        <v>1430</v>
      </c>
      <c r="F7" s="21" t="n">
        <v>720</v>
      </c>
      <c r="G7" s="21" t="n">
        <v>120</v>
      </c>
      <c r="H7" s="23">
        <f>E7/F7</f>
        <v/>
      </c>
      <c r="I7" s="24">
        <f>E7/G7</f>
        <v/>
      </c>
      <c r="J7" s="32" t="inlineStr">
        <is>
          <t>Specialty foodservice platform</t>
        </is>
      </c>
    </row>
    <row r="8">
      <c r="A8" s="31" t="inlineStr">
        <is>
          <t>Oct 2021</t>
        </is>
      </c>
      <c r="B8" s="32" t="inlineStr">
        <is>
          <t>Restaurant Depot (Jetro Holdings)</t>
        </is>
      </c>
      <c r="C8" s="32" t="inlineStr">
        <is>
          <t>Stonepeak Infrastructure</t>
        </is>
      </c>
      <c r="D8" s="32" t="inlineStr">
        <is>
          <t>Sponsor</t>
        </is>
      </c>
      <c r="E8" s="21" t="n">
        <v>5800</v>
      </c>
      <c r="F8" s="21" t="n">
        <v>3700</v>
      </c>
      <c r="G8" s="21" t="n">
        <v>415</v>
      </c>
      <c r="H8" s="23">
        <f>E8/F8</f>
        <v/>
      </c>
      <c r="I8" s="24">
        <f>E8/G8</f>
        <v/>
      </c>
      <c r="J8" s="32" t="inlineStr">
        <is>
          <t>Cash-and-carry foodservice</t>
        </is>
      </c>
    </row>
    <row r="9">
      <c r="A9" s="31" t="inlineStr">
        <is>
          <t>Aug 2021</t>
        </is>
      </c>
      <c r="B9" s="32" t="inlineStr">
        <is>
          <t>Krasdale Foods (specialty distribution)</t>
        </is>
      </c>
      <c r="C9" s="32" t="inlineStr">
        <is>
          <t>Castanea Partners</t>
        </is>
      </c>
      <c r="D9" s="32" t="inlineStr">
        <is>
          <t>Sponsor</t>
        </is>
      </c>
      <c r="E9" s="21" t="n">
        <v>480</v>
      </c>
      <c r="F9" s="21" t="n">
        <v>600</v>
      </c>
      <c r="G9" s="21" t="n">
        <v>48</v>
      </c>
      <c r="H9" s="23">
        <f>E9/F9</f>
        <v/>
      </c>
      <c r="I9" s="24">
        <f>E9/G9</f>
        <v/>
      </c>
      <c r="J9" s="32" t="inlineStr">
        <is>
          <t>Northeast specialty foodservice</t>
        </is>
      </c>
    </row>
    <row r="10">
      <c r="A10" s="31" t="inlineStr">
        <is>
          <t>Jun 2021</t>
        </is>
      </c>
      <c r="B10" s="32" t="inlineStr">
        <is>
          <t>Cheney Brothers, Inc.</t>
        </is>
      </c>
      <c r="C10" s="32" t="inlineStr">
        <is>
          <t>L Catterton</t>
        </is>
      </c>
      <c r="D10" s="32" t="inlineStr">
        <is>
          <t>Sponsor</t>
        </is>
      </c>
      <c r="E10" s="21" t="n">
        <v>780</v>
      </c>
      <c r="F10" s="21" t="n">
        <v>850</v>
      </c>
      <c r="G10" s="21" t="n">
        <v>82</v>
      </c>
      <c r="H10" s="23">
        <f>E10/F10</f>
        <v/>
      </c>
      <c r="I10" s="24">
        <f>E10/G10</f>
        <v/>
      </c>
      <c r="J10" s="32" t="inlineStr">
        <is>
          <t>Southeast independent broadline w/ specialty mix</t>
        </is>
      </c>
    </row>
    <row r="11">
      <c r="A11" s="31" t="inlineStr">
        <is>
          <t>Mar 2021</t>
        </is>
      </c>
      <c r="B11" s="32" t="inlineStr">
        <is>
          <t>Reinhart Foodservice (subset)</t>
        </is>
      </c>
      <c r="C11" s="32" t="inlineStr">
        <is>
          <t>Performance Food Group</t>
        </is>
      </c>
      <c r="D11" s="32" t="inlineStr">
        <is>
          <t>Strategic</t>
        </is>
      </c>
      <c r="E11" s="21" t="n">
        <v>1850</v>
      </c>
      <c r="F11" s="21" t="n">
        <v>1820</v>
      </c>
      <c r="G11" s="21" t="n">
        <v>145</v>
      </c>
      <c r="H11" s="23">
        <f>E11/F11</f>
        <v/>
      </c>
      <c r="I11" s="24">
        <f>E11/G11</f>
        <v/>
      </c>
      <c r="J11" s="32" t="inlineStr">
        <is>
          <t>Mainstream foodservice</t>
        </is>
      </c>
    </row>
    <row r="12">
      <c r="A12" s="31" t="inlineStr">
        <is>
          <t>Feb 2020</t>
        </is>
      </c>
      <c r="B12" s="32" t="inlineStr">
        <is>
          <t>Smart &amp; Final Stores</t>
        </is>
      </c>
      <c r="C12" s="32" t="inlineStr">
        <is>
          <t>Apollo Global Management</t>
        </is>
      </c>
      <c r="D12" s="32" t="inlineStr">
        <is>
          <t>Sponsor</t>
        </is>
      </c>
      <c r="E12" s="21" t="n">
        <v>1130</v>
      </c>
      <c r="F12" s="21" t="n">
        <v>4500</v>
      </c>
      <c r="G12" s="21" t="n">
        <v>175</v>
      </c>
      <c r="H12" s="23">
        <f>E12/F12</f>
        <v/>
      </c>
      <c r="I12" s="24">
        <f>E12/G12</f>
        <v/>
      </c>
      <c r="J12" s="32" t="inlineStr">
        <is>
          <t>Cash-and-carry / foodservice retail</t>
        </is>
      </c>
    </row>
    <row r="13">
      <c r="A13" s="31" t="inlineStr">
        <is>
          <t>Aug 2019</t>
        </is>
      </c>
      <c r="B13" s="32" t="inlineStr">
        <is>
          <t>Reinhart Foodservice (parent)</t>
        </is>
      </c>
      <c r="C13" s="32" t="inlineStr">
        <is>
          <t>Performance Food Group</t>
        </is>
      </c>
      <c r="D13" s="32" t="inlineStr">
        <is>
          <t>Strategic</t>
        </is>
      </c>
      <c r="E13" s="21" t="n">
        <v>2000</v>
      </c>
      <c r="F13" s="21" t="n">
        <v>6000</v>
      </c>
      <c r="G13" s="21" t="n">
        <v>280</v>
      </c>
      <c r="H13" s="23">
        <f>E13/F13</f>
        <v/>
      </c>
      <c r="I13" s="24">
        <f>E13/G13</f>
        <v/>
      </c>
      <c r="J13" s="32" t="inlineStr">
        <is>
          <t>Mainstream foodservice</t>
        </is>
      </c>
    </row>
    <row r="14">
      <c r="A14" s="31" t="inlineStr">
        <is>
          <t>Jun 2018</t>
        </is>
      </c>
      <c r="B14" s="32" t="inlineStr">
        <is>
          <t>SGA's Northeast Bakers Supply</t>
        </is>
      </c>
      <c r="C14" s="32" t="inlineStr">
        <is>
          <t>Sysco Specialty</t>
        </is>
      </c>
      <c r="D14" s="32" t="inlineStr">
        <is>
          <t>Strategic</t>
        </is>
      </c>
      <c r="E14" s="21" t="n">
        <v>130</v>
      </c>
      <c r="F14" s="21" t="n">
        <v>85</v>
      </c>
      <c r="G14" s="21" t="n">
        <v>14</v>
      </c>
      <c r="H14" s="23">
        <f>E14/F14</f>
        <v/>
      </c>
      <c r="I14" s="24">
        <f>E14/G14</f>
        <v/>
      </c>
      <c r="J14" s="32" t="inlineStr">
        <is>
          <t>Italian / bakery specialty</t>
        </is>
      </c>
    </row>
    <row r="16">
      <c r="A16" s="25" t="n"/>
      <c r="B16" s="26" t="inlineStr">
        <is>
          <t>STATISTICS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B17" s="27" t="inlineStr">
        <is>
          <t>Median</t>
        </is>
      </c>
      <c r="H17" s="29">
        <f>MEDIAN(H5:H14)</f>
        <v/>
      </c>
      <c r="I17" s="30">
        <f>MEDIAN(I5:I14)</f>
        <v/>
      </c>
    </row>
    <row r="18">
      <c r="B18" s="27" t="inlineStr">
        <is>
          <t>Mean</t>
        </is>
      </c>
      <c r="H18" s="29">
        <f>AVERAGE(H5:H14)</f>
        <v/>
      </c>
      <c r="I18" s="30">
        <f>AVERAGE(I5:I14)</f>
        <v/>
      </c>
    </row>
    <row r="19">
      <c r="B19" s="27" t="inlineStr">
        <is>
          <t>High</t>
        </is>
      </c>
      <c r="H19" s="29">
        <f>MAX(H5:H14)</f>
        <v/>
      </c>
      <c r="I19" s="30">
        <f>MAX(I5:I14)</f>
        <v/>
      </c>
    </row>
    <row r="20">
      <c r="B20" s="27" t="inlineStr">
        <is>
          <t>Low</t>
        </is>
      </c>
      <c r="H20" s="29">
        <f>MIN(H5:H14)</f>
        <v/>
      </c>
      <c r="I20" s="30">
        <f>MIN(I5:I14)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7" t="inlineStr">
        <is>
          <t>Wholesum — entry valuation sensitivity</t>
        </is>
      </c>
    </row>
    <row r="4">
      <c r="A4" s="33" t="inlineStr">
        <is>
          <t>EBITDA ↓ / Mult →</t>
        </is>
      </c>
      <c r="B4" s="34" t="n">
        <v>8.5</v>
      </c>
      <c r="C4" s="34" t="n">
        <v>9</v>
      </c>
      <c r="D4" s="34" t="n">
        <v>9.5</v>
      </c>
      <c r="E4" s="34" t="n">
        <v>9.800000000000001</v>
      </c>
      <c r="F4" s="34" t="n">
        <v>10</v>
      </c>
      <c r="G4" s="34" t="n">
        <v>10.5</v>
      </c>
      <c r="H4" s="34" t="n">
        <v>11</v>
      </c>
    </row>
    <row r="5">
      <c r="A5" s="35" t="n">
        <v>62</v>
      </c>
      <c r="B5" s="36" t="n">
        <v>527</v>
      </c>
      <c r="C5" s="36" t="n">
        <v>558</v>
      </c>
      <c r="D5" s="36" t="n">
        <v>589</v>
      </c>
      <c r="E5" s="36" t="n">
        <v>607.6</v>
      </c>
      <c r="F5" s="36" t="n">
        <v>620</v>
      </c>
      <c r="G5" s="36" t="n">
        <v>651</v>
      </c>
      <c r="H5" s="36" t="n">
        <v>682</v>
      </c>
    </row>
    <row r="6">
      <c r="A6" s="35" t="n">
        <v>66</v>
      </c>
      <c r="B6" s="36" t="n">
        <v>561</v>
      </c>
      <c r="C6" s="36" t="n">
        <v>594</v>
      </c>
      <c r="D6" s="36" t="n">
        <v>627</v>
      </c>
      <c r="E6" s="36" t="n">
        <v>646.8000000000001</v>
      </c>
      <c r="F6" s="36" t="n">
        <v>660</v>
      </c>
      <c r="G6" s="36" t="n">
        <v>693</v>
      </c>
      <c r="H6" s="36" t="n">
        <v>726</v>
      </c>
    </row>
    <row r="7">
      <c r="A7" s="35" t="n">
        <v>70</v>
      </c>
      <c r="B7" s="36" t="n">
        <v>595</v>
      </c>
      <c r="C7" s="36" t="n">
        <v>630</v>
      </c>
      <c r="D7" s="36" t="n">
        <v>665</v>
      </c>
      <c r="E7" s="36" t="n">
        <v>686</v>
      </c>
      <c r="F7" s="36" t="n">
        <v>700</v>
      </c>
      <c r="G7" s="36" t="n">
        <v>735</v>
      </c>
      <c r="H7" s="36" t="n">
        <v>770</v>
      </c>
    </row>
    <row r="8">
      <c r="A8" s="35" t="n">
        <v>72.40000000000001</v>
      </c>
      <c r="B8" s="36" t="n">
        <v>615.4000000000001</v>
      </c>
      <c r="C8" s="36" t="n">
        <v>651.6</v>
      </c>
      <c r="D8" s="36" t="n">
        <v>687.8000000000001</v>
      </c>
      <c r="E8" s="37" t="n">
        <v>709.5200000000001</v>
      </c>
      <c r="F8" s="36" t="n">
        <v>724</v>
      </c>
      <c r="G8" s="36" t="n">
        <v>760.2</v>
      </c>
      <c r="H8" s="36" t="n">
        <v>796.4000000000001</v>
      </c>
    </row>
    <row r="9">
      <c r="A9" s="35" t="n">
        <v>75</v>
      </c>
      <c r="B9" s="36" t="n">
        <v>637.5</v>
      </c>
      <c r="C9" s="36" t="n">
        <v>675</v>
      </c>
      <c r="D9" s="36" t="n">
        <v>712.5</v>
      </c>
      <c r="E9" s="36" t="n">
        <v>735</v>
      </c>
      <c r="F9" s="36" t="n">
        <v>750</v>
      </c>
      <c r="G9" s="36" t="n">
        <v>787.5</v>
      </c>
      <c r="H9" s="36" t="n">
        <v>825</v>
      </c>
    </row>
    <row r="10">
      <c r="A10" s="35" t="n">
        <v>78</v>
      </c>
      <c r="B10" s="36" t="n">
        <v>663</v>
      </c>
      <c r="C10" s="36" t="n">
        <v>702</v>
      </c>
      <c r="D10" s="36" t="n">
        <v>741</v>
      </c>
      <c r="E10" s="36" t="n">
        <v>764.4000000000001</v>
      </c>
      <c r="F10" s="36" t="n">
        <v>780</v>
      </c>
      <c r="G10" s="36" t="n">
        <v>819</v>
      </c>
      <c r="H10" s="36" t="n">
        <v>858</v>
      </c>
    </row>
    <row r="11">
      <c r="A11" s="35" t="n">
        <v>82</v>
      </c>
      <c r="B11" s="36" t="n">
        <v>697</v>
      </c>
      <c r="C11" s="36" t="n">
        <v>738</v>
      </c>
      <c r="D11" s="36" t="n">
        <v>779</v>
      </c>
      <c r="E11" s="36" t="n">
        <v>803.6</v>
      </c>
      <c r="F11" s="36" t="n">
        <v>820</v>
      </c>
      <c r="G11" s="36" t="n">
        <v>861</v>
      </c>
      <c r="H11" s="36" t="n">
        <v>902</v>
      </c>
    </row>
    <row r="12">
      <c r="A12" s="18" t="inlineStr">
        <is>
          <t>Selected: $72.4M LTM Adj. EBITDA × 9.8x = $710M EV (highlighted).</t>
        </is>
      </c>
    </row>
  </sheetData>
  <mergeCells count="1">
    <mergeCell ref="A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2026-05-11T00:19:38Z</dcterms:created>
  <dcterms:modified xmlns:dcterms="http://purl.org/dc/terms/" xmlns:xsi="http://www.w3.org/2001/XMLSchema-instance" xsi:type="dcterms:W3CDTF">2026-05-11T00:19:38Z</dcterms:modified>
</cp:coreProperties>
</file>